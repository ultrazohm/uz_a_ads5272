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FastADC\Project Outputs for UltraZohm_Analog_ADS5272\BOM\"/>
    </mc:Choice>
  </mc:AlternateContent>
  <xr:revisionPtr revIDLastSave="0" documentId="13_ncr:1_{58C7D401-612B-4E1F-80A4-18094C4C74DE}" xr6:coauthVersionLast="45" xr6:coauthVersionMax="45" xr10:uidLastSave="{00000000-0000-0000-0000-000000000000}"/>
  <bookViews>
    <workbookView xWindow="-120" yWindow="-120" windowWidth="29040" windowHeight="15840" xr2:uid="{FAC7F89E-89FD-4F6A-8475-B0704D099129}"/>
  </bookViews>
  <sheets>
    <sheet name="BOM_UltraZohm_Analog_ADS5272_1v" sheetId="1" r:id="rId1"/>
  </sheets>
  <definedNames>
    <definedName name="_xlnm.Print_Titles" localSheetId="0">BOM_UltraZohm_Analog_ADS5272_1v!$1:$1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5" i="1" l="1"/>
  <c r="L56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" i="1"/>
  <c r="N56" i="1" l="1"/>
</calcChain>
</file>

<file path=xl/sharedStrings.xml><?xml version="1.0" encoding="utf-8"?>
<sst xmlns="http://schemas.openxmlformats.org/spreadsheetml/2006/main" count="478" uniqueCount="290">
  <si>
    <t>Name</t>
  </si>
  <si>
    <t>Designator</t>
  </si>
  <si>
    <t>Value</t>
  </si>
  <si>
    <t>Description</t>
  </si>
  <si>
    <t>Footprint</t>
  </si>
  <si>
    <t>Manufacturer 1</t>
  </si>
  <si>
    <t>Manufacturer Part Number 1</t>
  </si>
  <si>
    <t>Supplier 1</t>
  </si>
  <si>
    <t>Supplier Part Number 1</t>
  </si>
  <si>
    <t>Supplier Unit Price 1</t>
  </si>
  <si>
    <t>Quantity</t>
  </si>
  <si>
    <t>Supplier Subtotal 1</t>
  </si>
  <si>
    <t>Ferrite bead</t>
  </si>
  <si>
    <t>BS1, BS2</t>
  </si>
  <si>
    <t>6A</t>
  </si>
  <si>
    <t>RES_1206</t>
  </si>
  <si>
    <t>Stackpole Electronics</t>
  </si>
  <si>
    <t>RMCF1206ZT0R00</t>
  </si>
  <si>
    <t>Digi-Key</t>
  </si>
  <si>
    <t>RMCF1206ZT0R00CT-ND</t>
  </si>
  <si>
    <t>100nF</t>
  </si>
  <si>
    <t>C1A, C1B, C2A, C2B, C3, C4, C5, C6, C7, C9, C10, C11, C12, C13, C15, C16, C17, C18, C19, C20, C21, C22, C23, C24, C25, C28, C29, C30, C31, C32, C33, C34, C35A, C35B, C36A, C36B, C37A, C37B, C38A, C38B, C39A, C39B, C40, C44, C46, C49A, C49B, C53, C55, C56, C57, C58, C59, C68A, C68B, C68C, C68D, C68E, C68F, C68G, C68H, C69A, C69B, C69C, C69D, C69E, C69F, C69G, C69H, C70A, C70B, C70C, C70D, C70E, C70F, C70G, C70H, C73, C74, C75, C76, C77, C78, C85A, C85B, C85C, C85D, C85E, C85F, C85G, C85H, C86, C87, C88, C89, C90, C91</t>
  </si>
  <si>
    <t>Capacitor</t>
  </si>
  <si>
    <t>CAP_0603</t>
  </si>
  <si>
    <t>Samsung</t>
  </si>
  <si>
    <t>CL10B104KA8NNNC</t>
  </si>
  <si>
    <t>1276-1006-1-ND</t>
  </si>
  <si>
    <t>C8</t>
  </si>
  <si>
    <t>CAP_0805</t>
  </si>
  <si>
    <t>KEMET</t>
  </si>
  <si>
    <t>C0805C104Z5VACTU</t>
  </si>
  <si>
    <t>399-1177-1-ND</t>
  </si>
  <si>
    <t>1uF</t>
  </si>
  <si>
    <t>C14, C63, C71, C72</t>
  </si>
  <si>
    <t>Taiyo Yuden</t>
  </si>
  <si>
    <t>GMK212B7105MG-T</t>
  </si>
  <si>
    <t>587-4892-1-ND</t>
  </si>
  <si>
    <t>2.2uF</t>
  </si>
  <si>
    <t>C26, C27</t>
  </si>
  <si>
    <t>CL21B225KPFNNNE</t>
  </si>
  <si>
    <t>1276-1188-1-ND</t>
  </si>
  <si>
    <t>200pF</t>
  </si>
  <si>
    <t>C41A, C41B, C42A, C42B, C45A, C45B, C47A, C47B, C50A, C50B, C51A, C51B, C54A, C54B, C64A, C64B</t>
  </si>
  <si>
    <t>CL10B201KB8NNNC</t>
  </si>
  <si>
    <t>1276-1982-1-ND</t>
  </si>
  <si>
    <t>100pF</t>
  </si>
  <si>
    <t>C43A, C43B, C48A, C48B, C52A, C52B, C65A, C65B</t>
  </si>
  <si>
    <t>Kyocera AVX</t>
  </si>
  <si>
    <t>06031A101FAT2A\4K</t>
  </si>
  <si>
    <t>478-3671-1-ND</t>
  </si>
  <si>
    <t>220 uF</t>
  </si>
  <si>
    <t>C60, C61</t>
  </si>
  <si>
    <t>WCAP-ATG5 Aluminum Electrolytic Capacitors, 8x11.5mm, 35 Vdc, 220 uF</t>
  </si>
  <si>
    <t>WCAP-ATG5_8x11.5x3.5</t>
  </si>
  <si>
    <t>Wurth Electronics</t>
  </si>
  <si>
    <t>860020574012</t>
  </si>
  <si>
    <t>732-8946-1-ND</t>
  </si>
  <si>
    <t>10uF</t>
  </si>
  <si>
    <t>C62, C66, C67</t>
  </si>
  <si>
    <t>Murata</t>
  </si>
  <si>
    <t>GRM319R6YA106KA12D</t>
  </si>
  <si>
    <t>490-9964-1-ND</t>
  </si>
  <si>
    <t>470pF</t>
  </si>
  <si>
    <t>C79</t>
  </si>
  <si>
    <t>885342208017</t>
  </si>
  <si>
    <t>732-12097-1-ND</t>
  </si>
  <si>
    <t>C81A, C81B, C82A, C82B, C83A, C83B, C84A, C84B</t>
  </si>
  <si>
    <t>C1206C104K3RACTU</t>
  </si>
  <si>
    <t>399-8140-1-ND</t>
  </si>
  <si>
    <t xml:space="preserve">  1µF</t>
  </si>
  <si>
    <t>C92</t>
  </si>
  <si>
    <t>Capacitor Ceramic</t>
  </si>
  <si>
    <t>TDK</t>
  </si>
  <si>
    <t>C1608X5R1H105K080AB</t>
  </si>
  <si>
    <t>445-7468-1-ND</t>
  </si>
  <si>
    <t>VIN</t>
  </si>
  <si>
    <t>D1</t>
  </si>
  <si>
    <t>LED Magenta</t>
  </si>
  <si>
    <t>LED_0805_GREEN</t>
  </si>
  <si>
    <t>150080BS75000</t>
  </si>
  <si>
    <t>732-4982-1-ND</t>
  </si>
  <si>
    <t>VCC</t>
  </si>
  <si>
    <t>D2</t>
  </si>
  <si>
    <t>+1.8V</t>
  </si>
  <si>
    <t>D3</t>
  </si>
  <si>
    <t>150080VS75000</t>
  </si>
  <si>
    <t>732-4986-1-ND</t>
  </si>
  <si>
    <t>LED</t>
  </si>
  <si>
    <t>D4, D5, D6, D7, D8, D9, D10, D11</t>
  </si>
  <si>
    <t>150080YS75000</t>
  </si>
  <si>
    <t>732-4987-1-ND</t>
  </si>
  <si>
    <t>RJHSE-5380-02</t>
  </si>
  <si>
    <t>J1</t>
  </si>
  <si>
    <t>Modular Jack WR-MJ, Tab Up, Shielded, Dual Port, Righ Angle, THT, 8P8C</t>
  </si>
  <si>
    <t>ICC</t>
  </si>
  <si>
    <t>RJHSE-5380-02-ND</t>
  </si>
  <si>
    <t/>
  </si>
  <si>
    <t>JTAG CPLD</t>
  </si>
  <si>
    <t>Header, 5-Pin, Dual row, Vertical</t>
  </si>
  <si>
    <t>HEADER_JTAG - MAXII Horizontal</t>
  </si>
  <si>
    <t>CNC Tech</t>
  </si>
  <si>
    <t>3020-10-0200-00</t>
  </si>
  <si>
    <t>1175-1615-ND</t>
  </si>
  <si>
    <t>15mH</t>
  </si>
  <si>
    <t>L2</t>
  </si>
  <si>
    <t>SMT power Inductor, 15uH, 40m DRC</t>
  </si>
  <si>
    <t>SMT_inductor_1050_Performance</t>
  </si>
  <si>
    <t>48150SC</t>
  </si>
  <si>
    <t>811-3837-1-ND</t>
  </si>
  <si>
    <t>X95840_</t>
  </si>
  <si>
    <t>POT1, POT2</t>
  </si>
  <si>
    <t>Digital Trimmer</t>
  </si>
  <si>
    <t>TSSO6X6-G20/D6.6</t>
  </si>
  <si>
    <t>Intersil</t>
  </si>
  <si>
    <t>X95840WV20IZ-2.7</t>
  </si>
  <si>
    <t>X95840WV20IZ-2.7-ND</t>
  </si>
  <si>
    <t>2.2k</t>
  </si>
  <si>
    <t>R1, R2, R21, R22</t>
  </si>
  <si>
    <t>RES_0603</t>
  </si>
  <si>
    <t>Panasonic</t>
  </si>
  <si>
    <t>ERJ-3GEYJ222V</t>
  </si>
  <si>
    <t>P2.2KGCT-ND</t>
  </si>
  <si>
    <t>1.5k</t>
  </si>
  <si>
    <t>R3, R4, R5, R6, R7, R8, R9, R10</t>
  </si>
  <si>
    <t>Rohm</t>
  </si>
  <si>
    <t>ESR03EZPJ681</t>
  </si>
  <si>
    <t>RHM680DCT-ND</t>
  </si>
  <si>
    <t>1k</t>
  </si>
  <si>
    <t>R11</t>
  </si>
  <si>
    <t>ESR03EZPJ102</t>
  </si>
  <si>
    <t>RHM1.0KDCT-ND</t>
  </si>
  <si>
    <t>10k</t>
  </si>
  <si>
    <t>R12, R56, R73, R74, R75, R80, R81, R82, R83</t>
  </si>
  <si>
    <t>Yageo</t>
  </si>
  <si>
    <t>RT0603DRD0710KL</t>
  </si>
  <si>
    <t>311-10KDCT-ND</t>
  </si>
  <si>
    <t>0</t>
  </si>
  <si>
    <t>R14</t>
  </si>
  <si>
    <t>Vishay</t>
  </si>
  <si>
    <t>CRCW06030000Z0EA</t>
  </si>
  <si>
    <t>541-0.0GCT-ND</t>
  </si>
  <si>
    <t>4.7k</t>
  </si>
  <si>
    <t>R16</t>
  </si>
  <si>
    <t>ERA-3AEB472V</t>
  </si>
  <si>
    <t>P4.7KDBCT-ND</t>
  </si>
  <si>
    <t>2</t>
  </si>
  <si>
    <t>R17, R18</t>
  </si>
  <si>
    <t>TE Connectivity</t>
  </si>
  <si>
    <t>1879334-1</t>
  </si>
  <si>
    <t>A102258CT-ND</t>
  </si>
  <si>
    <t>56k</t>
  </si>
  <si>
    <t>R19</t>
  </si>
  <si>
    <t>RT0603DRD0756KL</t>
  </si>
  <si>
    <t>311-56KDCT-ND</t>
  </si>
  <si>
    <t>220</t>
  </si>
  <si>
    <t>R20</t>
  </si>
  <si>
    <t>RC0603JR-07220RL</t>
  </si>
  <si>
    <t>311-220GRCT-ND</t>
  </si>
  <si>
    <t>R23A, R23B, R24A, R24B, R26A, R26B, R26C, R26D, R26E, R26F, R26G, R26H</t>
  </si>
  <si>
    <t>Chip Resistor Array 0606, 4xR</t>
  </si>
  <si>
    <t>CAC-80P320X160-8N</t>
  </si>
  <si>
    <t>Vishay Beyschlag</t>
  </si>
  <si>
    <t>ACASA1002S1002P100</t>
  </si>
  <si>
    <t>749-1023-1-ND</t>
  </si>
  <si>
    <t>100k</t>
  </si>
  <si>
    <t>R25A, R25B, R25C, R25D, R25E, R25F, R25G, R25H</t>
  </si>
  <si>
    <t>ACASA1003S1003P1AT</t>
  </si>
  <si>
    <t>749-1032-1-ND</t>
  </si>
  <si>
    <t>2.2M</t>
  </si>
  <si>
    <t>R27</t>
  </si>
  <si>
    <t>KOA Speer</t>
  </si>
  <si>
    <t>RK73H1JTTD2204F</t>
  </si>
  <si>
    <t>2019-RK73H1JTTD2204FCT-ND</t>
  </si>
  <si>
    <t>1M</t>
  </si>
  <si>
    <t>R28</t>
  </si>
  <si>
    <t>Resistor</t>
  </si>
  <si>
    <t>Vishay Dale</t>
  </si>
  <si>
    <t>CRCW12101M00JNEA</t>
  </si>
  <si>
    <t>541-1.0MVCT-ND</t>
  </si>
  <si>
    <t>48.7</t>
  </si>
  <si>
    <t>R31A, R31B, R34A, R34B, R37A, R37B, R40A, R40B, R43A, R43B, R46A, R46B, R49A, R49B, R52A, R52B</t>
  </si>
  <si>
    <t>Digikey</t>
  </si>
  <si>
    <t xml:space="preserve">P48.7DBCT-ND </t>
  </si>
  <si>
    <t>39.2k</t>
  </si>
  <si>
    <t>R32A, R32B, R33A, R33B, R38A, R38B, R39A, R39B, R44A, R44B, R45A, R45B, R50A, R50B, R51A, R51B</t>
  </si>
  <si>
    <t>ERA-3AEB3922V</t>
  </si>
  <si>
    <t>P39.2KDBCT-ND</t>
  </si>
  <si>
    <t>R35</t>
  </si>
  <si>
    <t>Susumu</t>
  </si>
  <si>
    <t>RR0816P-104-D</t>
  </si>
  <si>
    <t>RR08P100KDCT-ND</t>
  </si>
  <si>
    <t>38.3k</t>
  </si>
  <si>
    <t>R36</t>
  </si>
  <si>
    <t>ERJ3EKF3832V</t>
  </si>
  <si>
    <t>P38.3KHCT-ND</t>
  </si>
  <si>
    <t>100</t>
  </si>
  <si>
    <t>R41</t>
  </si>
  <si>
    <t>82</t>
  </si>
  <si>
    <t>R57A, R57B, R58A, R58B, R62A, R62B, R63A, R63B</t>
  </si>
  <si>
    <t>Limiter Resistor</t>
  </si>
  <si>
    <t>ERA8AEB820V</t>
  </si>
  <si>
    <t>P82BCCT-ND</t>
  </si>
  <si>
    <t>20k</t>
  </si>
  <si>
    <t>R89</t>
  </si>
  <si>
    <t>RC0603FR-07330RL</t>
  </si>
  <si>
    <t>311-330HRCT-ND</t>
  </si>
  <si>
    <t>330</t>
  </si>
  <si>
    <t>R90</t>
  </si>
  <si>
    <t>VREF 3.3V/1.65V</t>
  </si>
  <si>
    <t>REF1, REF2</t>
  </si>
  <si>
    <t>SOT-23-5</t>
  </si>
  <si>
    <t>Texas Instruments</t>
  </si>
  <si>
    <t>REF2033AIDDCT</t>
  </si>
  <si>
    <t>296-40487-1-ND</t>
  </si>
  <si>
    <t>THS4524</t>
  </si>
  <si>
    <t>U1A, U1B</t>
  </si>
  <si>
    <t>Quad Channel fully differential Amplilfier</t>
  </si>
  <si>
    <t>THS4524 Footprint</t>
  </si>
  <si>
    <t>THS4524IDBTR</t>
  </si>
  <si>
    <t>296-24315-1-ND</t>
  </si>
  <si>
    <t>LED Driver</t>
  </si>
  <si>
    <t>U2, U3, U8, U9, U10, U13, U14, U15</t>
  </si>
  <si>
    <t>General Purpose High Side Load Switch</t>
  </si>
  <si>
    <t>SOT65P210X110-6N</t>
  </si>
  <si>
    <t>Microchip</t>
  </si>
  <si>
    <t>MIC94092YC6-TR</t>
  </si>
  <si>
    <t>576-3488-1-ND</t>
  </si>
  <si>
    <t>OPA4344</t>
  </si>
  <si>
    <t>U4A, U4B, U4C, U4D, U4E, U4F, U4G, U4H</t>
  </si>
  <si>
    <t>opamp rai to rail 1mV</t>
  </si>
  <si>
    <t>TSSO5X6-G14/X.3</t>
  </si>
  <si>
    <t>OPA4344EA/250</t>
  </si>
  <si>
    <t>OPA4344EACT-ND</t>
  </si>
  <si>
    <t>ADS5272</t>
  </si>
  <si>
    <t>U5</t>
  </si>
  <si>
    <t>TSQFP50P1400X1400_HS-80M</t>
  </si>
  <si>
    <t>ADS5272IPFP</t>
  </si>
  <si>
    <t>296-18605-ND</t>
  </si>
  <si>
    <t>MC74VHC1G00DFT1</t>
  </si>
  <si>
    <t>U6A, U6B, U6C, U6D, U6E, U6F, U6G, U6H</t>
  </si>
  <si>
    <t>2-Input NAND Gate</t>
  </si>
  <si>
    <t>SOT-353</t>
  </si>
  <si>
    <t>ON Semiconductor</t>
  </si>
  <si>
    <t>MC74VHC1G00DFT1G</t>
  </si>
  <si>
    <t>MC74VHC1G00DFT1GOSCT-ND</t>
  </si>
  <si>
    <t>uMAX962</t>
  </si>
  <si>
    <t>U7A, U7B, U7C, U7D, U7E, U7F, U7G, U7H</t>
  </si>
  <si>
    <t>IC COMPARATOR BTR 8-UMAX</t>
  </si>
  <si>
    <t>8-MSOP</t>
  </si>
  <si>
    <t>Maxim</t>
  </si>
  <si>
    <t>MAX962EUA+</t>
  </si>
  <si>
    <t>MAX962EUA+-ND</t>
  </si>
  <si>
    <t>TL071</t>
  </si>
  <si>
    <t>U11</t>
  </si>
  <si>
    <t>IC OPAMP JFET 3MHZ 8SOIC</t>
  </si>
  <si>
    <t>SOIC8_N</t>
  </si>
  <si>
    <t>TL071CDR</t>
  </si>
  <si>
    <t>296-14994-1-ND</t>
  </si>
  <si>
    <t>5M570ZT100C5N</t>
  </si>
  <si>
    <t>U12</t>
  </si>
  <si>
    <t>MAX V CPLD 440MC 9NS 100TQFP</t>
  </si>
  <si>
    <t>TQFP100_N</t>
  </si>
  <si>
    <t>Intel Altera</t>
  </si>
  <si>
    <t>544-2839-ND</t>
  </si>
  <si>
    <t>Buck Converter</t>
  </si>
  <si>
    <t>U16</t>
  </si>
  <si>
    <t>3.8V to 36V, 2A synchronous step-down converter</t>
  </si>
  <si>
    <t>SOIC127P600X170_HS-9N</t>
  </si>
  <si>
    <t>LMR33620ADDA</t>
  </si>
  <si>
    <t>296-48841-ND</t>
  </si>
  <si>
    <t>Level Shifter</t>
  </si>
  <si>
    <t>U17</t>
  </si>
  <si>
    <t>1-Bit Unidirection Voltage Level Translator</t>
  </si>
  <si>
    <t>TSOP65P210X110-5N</t>
  </si>
  <si>
    <t>SN74AUP1T34QDCKRQ1</t>
  </si>
  <si>
    <t>296-40540-1-ND</t>
  </si>
  <si>
    <t>1.8V LDO</t>
  </si>
  <si>
    <t>U18</t>
  </si>
  <si>
    <t>1A Positive 1.8V Fixed-Voltage Low-Dropout Regulator</t>
  </si>
  <si>
    <t>SOT230P700X170-4N</t>
  </si>
  <si>
    <t>TLV1117LV18DCYR</t>
  </si>
  <si>
    <t>296-28777-1-ND</t>
  </si>
  <si>
    <t>20MHz</t>
  </si>
  <si>
    <t>X1</t>
  </si>
  <si>
    <t>Oscilador 20MHz</t>
  </si>
  <si>
    <t>CRYSTALOSC</t>
  </si>
  <si>
    <t>CTS-Frequency Controls</t>
  </si>
  <si>
    <t>110-CB3LV-3I-20M000000CT-ND</t>
  </si>
  <si>
    <t>quantity 2</t>
  </si>
  <si>
    <t>total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</si>
</sst>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0F80-7625-439D-91EE-C8AF96E32BC2}">
  <sheetPr>
    <pageSetUpPr fitToPage="1"/>
  </sheetPr>
  <dimension ref="A1:N56"/>
  <sheetViews>
    <sheetView tabSelected="1" workbookViewId="0">
      <selection activeCell="M66" sqref="M66"/>
    </sheetView>
  </sheetViews>
  <sheetFormatPr baseColWidth="10" defaultRowHeight="15" x14ac:dyDescent="0.25"/>
  <cols>
    <col min="1" max="1" width="18.85546875" customWidth="1"/>
    <col min="2" max="2" width="17.7109375" customWidth="1"/>
    <col min="3" max="3" width="13.85546875" customWidth="1"/>
    <col min="4" max="5" width="12.85546875" customWidth="1"/>
    <col min="6" max="7" width="16.7109375" customWidth="1"/>
    <col min="8" max="8" width="12.42578125" customWidth="1"/>
    <col min="9" max="9" width="15.85546875" customWidth="1"/>
    <col min="10" max="10" width="16.7109375" customWidth="1"/>
    <col min="11" max="11" width="10.7109375" customWidth="1"/>
    <col min="12" max="12" width="16.7109375" customWidth="1"/>
  </cols>
  <sheetData>
    <row r="1" spans="1:1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288</v>
      </c>
      <c r="N1" s="1" t="s">
        <v>289</v>
      </c>
    </row>
    <row r="2" spans="1:14" ht="30" x14ac:dyDescent="0.25">
      <c r="A2" s="3" t="s">
        <v>12</v>
      </c>
      <c r="B2" s="3" t="s">
        <v>13</v>
      </c>
      <c r="C2" s="4"/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>
        <v>0.1</v>
      </c>
      <c r="K2" s="4">
        <v>2</v>
      </c>
      <c r="L2" s="4">
        <v>0.2</v>
      </c>
      <c r="M2" s="5">
        <v>2</v>
      </c>
      <c r="N2">
        <f>J2*M2</f>
        <v>0.2</v>
      </c>
    </row>
    <row r="3" spans="1:14" ht="409.5" x14ac:dyDescent="0.25">
      <c r="A3" s="3" t="s">
        <v>20</v>
      </c>
      <c r="B3" s="3" t="s">
        <v>21</v>
      </c>
      <c r="C3" s="3" t="s">
        <v>20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18</v>
      </c>
      <c r="I3" s="3" t="s">
        <v>26</v>
      </c>
      <c r="J3" s="4">
        <v>1.3599999999999999E-2</v>
      </c>
      <c r="K3" s="4">
        <v>97</v>
      </c>
      <c r="L3" s="4">
        <v>1.36</v>
      </c>
      <c r="M3" s="5">
        <v>100</v>
      </c>
      <c r="N3">
        <f t="shared" ref="N3:N55" si="0">J3*M3</f>
        <v>1.3599999999999999</v>
      </c>
    </row>
    <row r="4" spans="1:14" ht="30" x14ac:dyDescent="0.25">
      <c r="A4" s="3" t="s">
        <v>20</v>
      </c>
      <c r="B4" s="3" t="s">
        <v>27</v>
      </c>
      <c r="C4" s="3" t="s">
        <v>20</v>
      </c>
      <c r="D4" s="3" t="s">
        <v>22</v>
      </c>
      <c r="E4" s="3" t="s">
        <v>28</v>
      </c>
      <c r="F4" s="3" t="s">
        <v>29</v>
      </c>
      <c r="G4" s="3" t="s">
        <v>30</v>
      </c>
      <c r="H4" s="3" t="s">
        <v>18</v>
      </c>
      <c r="I4" s="3" t="s">
        <v>31</v>
      </c>
      <c r="J4" s="4">
        <v>0.1</v>
      </c>
      <c r="K4" s="4">
        <v>1</v>
      </c>
      <c r="L4" s="4">
        <v>0.1</v>
      </c>
      <c r="M4" s="5">
        <v>1</v>
      </c>
      <c r="N4">
        <f t="shared" si="0"/>
        <v>0.1</v>
      </c>
    </row>
    <row r="5" spans="1:14" ht="30" x14ac:dyDescent="0.25">
      <c r="A5" s="3" t="s">
        <v>32</v>
      </c>
      <c r="B5" s="3" t="s">
        <v>33</v>
      </c>
      <c r="C5" s="3" t="s">
        <v>32</v>
      </c>
      <c r="D5" s="3" t="s">
        <v>22</v>
      </c>
      <c r="E5" s="3" t="s">
        <v>28</v>
      </c>
      <c r="F5" s="3" t="s">
        <v>34</v>
      </c>
      <c r="G5" s="3" t="s">
        <v>35</v>
      </c>
      <c r="H5" s="3" t="s">
        <v>18</v>
      </c>
      <c r="I5" s="3" t="s">
        <v>36</v>
      </c>
      <c r="J5" s="4">
        <v>0.24</v>
      </c>
      <c r="K5" s="4">
        <v>4</v>
      </c>
      <c r="L5" s="4">
        <v>0.96</v>
      </c>
      <c r="M5" s="6">
        <v>4</v>
      </c>
      <c r="N5">
        <f t="shared" si="0"/>
        <v>0.96</v>
      </c>
    </row>
    <row r="6" spans="1:14" ht="30" x14ac:dyDescent="0.25">
      <c r="A6" s="3" t="s">
        <v>37</v>
      </c>
      <c r="B6" s="3" t="s">
        <v>38</v>
      </c>
      <c r="C6" s="3" t="s">
        <v>37</v>
      </c>
      <c r="D6" s="3" t="s">
        <v>22</v>
      </c>
      <c r="E6" s="3" t="s">
        <v>28</v>
      </c>
      <c r="F6" s="3" t="s">
        <v>24</v>
      </c>
      <c r="G6" s="3" t="s">
        <v>39</v>
      </c>
      <c r="H6" s="3" t="s">
        <v>18</v>
      </c>
      <c r="I6" s="3" t="s">
        <v>40</v>
      </c>
      <c r="J6" s="4">
        <v>0.13</v>
      </c>
      <c r="K6" s="4">
        <v>2</v>
      </c>
      <c r="L6" s="4">
        <v>0.26</v>
      </c>
      <c r="M6" s="6">
        <v>2</v>
      </c>
      <c r="N6">
        <f t="shared" si="0"/>
        <v>0.26</v>
      </c>
    </row>
    <row r="7" spans="1:14" ht="90" x14ac:dyDescent="0.25">
      <c r="A7" s="3" t="s">
        <v>41</v>
      </c>
      <c r="B7" s="3" t="s">
        <v>42</v>
      </c>
      <c r="C7" s="3" t="s">
        <v>41</v>
      </c>
      <c r="D7" s="3" t="s">
        <v>22</v>
      </c>
      <c r="E7" s="3" t="s">
        <v>23</v>
      </c>
      <c r="F7" s="3" t="s">
        <v>24</v>
      </c>
      <c r="G7" s="3" t="s">
        <v>43</v>
      </c>
      <c r="H7" s="3" t="s">
        <v>18</v>
      </c>
      <c r="I7" s="3" t="s">
        <v>44</v>
      </c>
      <c r="J7" s="4">
        <v>0.04</v>
      </c>
      <c r="K7" s="4">
        <v>16</v>
      </c>
      <c r="L7" s="4">
        <v>0.64</v>
      </c>
      <c r="M7" s="6">
        <v>20</v>
      </c>
      <c r="N7">
        <f t="shared" si="0"/>
        <v>0.8</v>
      </c>
    </row>
    <row r="8" spans="1:14" ht="45" x14ac:dyDescent="0.25">
      <c r="A8" s="3" t="s">
        <v>45</v>
      </c>
      <c r="B8" s="3" t="s">
        <v>46</v>
      </c>
      <c r="C8" s="3" t="s">
        <v>45</v>
      </c>
      <c r="D8" s="3" t="s">
        <v>22</v>
      </c>
      <c r="E8" s="3" t="s">
        <v>23</v>
      </c>
      <c r="F8" s="3" t="s">
        <v>47</v>
      </c>
      <c r="G8" s="3" t="s">
        <v>48</v>
      </c>
      <c r="H8" s="3" t="s">
        <v>18</v>
      </c>
      <c r="I8" s="3" t="s">
        <v>49</v>
      </c>
      <c r="J8" s="4">
        <v>0.34200000000000003</v>
      </c>
      <c r="K8" s="4">
        <v>8</v>
      </c>
      <c r="L8" s="4">
        <v>3.42</v>
      </c>
      <c r="M8" s="6">
        <v>10</v>
      </c>
      <c r="N8">
        <f t="shared" si="0"/>
        <v>3.4200000000000004</v>
      </c>
    </row>
    <row r="9" spans="1:14" ht="105" x14ac:dyDescent="0.25">
      <c r="A9" s="3" t="s">
        <v>50</v>
      </c>
      <c r="B9" s="3" t="s">
        <v>51</v>
      </c>
      <c r="C9" s="3" t="s">
        <v>50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18</v>
      </c>
      <c r="I9" s="3" t="s">
        <v>56</v>
      </c>
      <c r="J9" s="4">
        <v>0.28000000000000003</v>
      </c>
      <c r="K9" s="4">
        <v>2</v>
      </c>
      <c r="L9" s="4">
        <v>0.56000000000000005</v>
      </c>
      <c r="M9" s="6">
        <v>2</v>
      </c>
      <c r="N9">
        <f t="shared" si="0"/>
        <v>0.56000000000000005</v>
      </c>
    </row>
    <row r="10" spans="1:14" ht="30" x14ac:dyDescent="0.25">
      <c r="A10" s="3" t="s">
        <v>57</v>
      </c>
      <c r="B10" s="3" t="s">
        <v>58</v>
      </c>
      <c r="C10" s="3" t="s">
        <v>57</v>
      </c>
      <c r="D10" s="3" t="s">
        <v>22</v>
      </c>
      <c r="E10" s="3" t="s">
        <v>15</v>
      </c>
      <c r="F10" s="3" t="s">
        <v>59</v>
      </c>
      <c r="G10" s="3" t="s">
        <v>60</v>
      </c>
      <c r="H10" s="3" t="s">
        <v>18</v>
      </c>
      <c r="I10" s="3" t="s">
        <v>61</v>
      </c>
      <c r="J10" s="4">
        <v>0.37</v>
      </c>
      <c r="K10" s="4">
        <v>3</v>
      </c>
      <c r="L10" s="4">
        <v>1.1100000000000001</v>
      </c>
      <c r="M10" s="6">
        <v>3</v>
      </c>
      <c r="N10">
        <f t="shared" si="0"/>
        <v>1.1099999999999999</v>
      </c>
    </row>
    <row r="11" spans="1:14" x14ac:dyDescent="0.25">
      <c r="A11" s="3" t="s">
        <v>62</v>
      </c>
      <c r="B11" s="3" t="s">
        <v>63</v>
      </c>
      <c r="C11" s="3" t="s">
        <v>62</v>
      </c>
      <c r="D11" s="3" t="s">
        <v>22</v>
      </c>
      <c r="E11" s="3" t="s">
        <v>15</v>
      </c>
      <c r="F11" s="3" t="s">
        <v>54</v>
      </c>
      <c r="G11" s="3" t="s">
        <v>64</v>
      </c>
      <c r="H11" s="3" t="s">
        <v>18</v>
      </c>
      <c r="I11" s="3" t="s">
        <v>65</v>
      </c>
      <c r="J11" s="4">
        <v>0.17</v>
      </c>
      <c r="K11" s="4">
        <v>1</v>
      </c>
      <c r="L11" s="4">
        <v>0.17</v>
      </c>
      <c r="M11" s="6">
        <v>1</v>
      </c>
      <c r="N11">
        <f t="shared" si="0"/>
        <v>0.17</v>
      </c>
    </row>
    <row r="12" spans="1:14" ht="45" x14ac:dyDescent="0.25">
      <c r="A12" s="3" t="s">
        <v>20</v>
      </c>
      <c r="B12" s="3" t="s">
        <v>66</v>
      </c>
      <c r="C12" s="3" t="s">
        <v>20</v>
      </c>
      <c r="D12" s="3" t="s">
        <v>22</v>
      </c>
      <c r="E12" s="3" t="s">
        <v>15</v>
      </c>
      <c r="F12" s="3" t="s">
        <v>29</v>
      </c>
      <c r="G12" s="3" t="s">
        <v>67</v>
      </c>
      <c r="H12" s="3" t="s">
        <v>18</v>
      </c>
      <c r="I12" s="3" t="s">
        <v>68</v>
      </c>
      <c r="J12" s="4">
        <v>9.5000000000000001E-2</v>
      </c>
      <c r="K12" s="4">
        <v>8</v>
      </c>
      <c r="L12" s="4">
        <v>0.95</v>
      </c>
      <c r="M12" s="6">
        <v>10</v>
      </c>
      <c r="N12">
        <f t="shared" si="0"/>
        <v>0.95</v>
      </c>
    </row>
    <row r="13" spans="1:14" ht="30" x14ac:dyDescent="0.25">
      <c r="A13" s="3" t="s">
        <v>69</v>
      </c>
      <c r="B13" s="3" t="s">
        <v>70</v>
      </c>
      <c r="C13" s="3" t="s">
        <v>69</v>
      </c>
      <c r="D13" s="3" t="s">
        <v>71</v>
      </c>
      <c r="E13" s="3" t="s">
        <v>23</v>
      </c>
      <c r="F13" s="3" t="s">
        <v>72</v>
      </c>
      <c r="G13" s="3" t="s">
        <v>73</v>
      </c>
      <c r="H13" s="3" t="s">
        <v>18</v>
      </c>
      <c r="I13" s="3" t="s">
        <v>74</v>
      </c>
      <c r="J13" s="4">
        <v>0.23</v>
      </c>
      <c r="K13" s="4">
        <v>1</v>
      </c>
      <c r="L13" s="4">
        <v>0.23</v>
      </c>
      <c r="M13" s="6">
        <v>1</v>
      </c>
      <c r="N13">
        <f t="shared" si="0"/>
        <v>0.23</v>
      </c>
    </row>
    <row r="14" spans="1:14" ht="30" x14ac:dyDescent="0.25">
      <c r="A14" s="3" t="s">
        <v>75</v>
      </c>
      <c r="B14" s="3" t="s">
        <v>76</v>
      </c>
      <c r="C14" s="4"/>
      <c r="D14" s="3" t="s">
        <v>77</v>
      </c>
      <c r="E14" s="3" t="s">
        <v>78</v>
      </c>
      <c r="F14" s="3" t="s">
        <v>54</v>
      </c>
      <c r="G14" s="3" t="s">
        <v>79</v>
      </c>
      <c r="H14" s="3" t="s">
        <v>18</v>
      </c>
      <c r="I14" s="3" t="s">
        <v>80</v>
      </c>
      <c r="J14" s="4">
        <v>0.18</v>
      </c>
      <c r="K14" s="4">
        <v>1</v>
      </c>
      <c r="L14" s="4">
        <v>0.18</v>
      </c>
      <c r="M14" s="6">
        <v>1</v>
      </c>
      <c r="N14">
        <f t="shared" si="0"/>
        <v>0.18</v>
      </c>
    </row>
    <row r="15" spans="1:14" ht="30" x14ac:dyDescent="0.25">
      <c r="A15" s="3" t="s">
        <v>81</v>
      </c>
      <c r="B15" s="3" t="s">
        <v>82</v>
      </c>
      <c r="C15" s="4"/>
      <c r="D15" s="3" t="s">
        <v>77</v>
      </c>
      <c r="E15" s="3" t="s">
        <v>78</v>
      </c>
      <c r="F15" s="3" t="s">
        <v>54</v>
      </c>
      <c r="G15" s="3" t="s">
        <v>79</v>
      </c>
      <c r="H15" s="3" t="s">
        <v>18</v>
      </c>
      <c r="I15" s="3" t="s">
        <v>80</v>
      </c>
      <c r="J15" s="4">
        <v>0.18</v>
      </c>
      <c r="K15" s="4">
        <v>1</v>
      </c>
      <c r="L15" s="4">
        <v>0.18</v>
      </c>
      <c r="M15" s="6">
        <v>1</v>
      </c>
      <c r="N15">
        <f t="shared" si="0"/>
        <v>0.18</v>
      </c>
    </row>
    <row r="16" spans="1:14" ht="30" x14ac:dyDescent="0.25">
      <c r="A16" s="3" t="s">
        <v>83</v>
      </c>
      <c r="B16" s="3" t="s">
        <v>84</v>
      </c>
      <c r="C16" s="4"/>
      <c r="D16" s="3" t="s">
        <v>77</v>
      </c>
      <c r="E16" s="3" t="s">
        <v>78</v>
      </c>
      <c r="F16" s="3" t="s">
        <v>54</v>
      </c>
      <c r="G16" s="3" t="s">
        <v>85</v>
      </c>
      <c r="H16" s="3" t="s">
        <v>18</v>
      </c>
      <c r="I16" s="3" t="s">
        <v>86</v>
      </c>
      <c r="J16" s="4">
        <v>0.18</v>
      </c>
      <c r="K16" s="4">
        <v>1</v>
      </c>
      <c r="L16" s="4">
        <v>0.18</v>
      </c>
      <c r="M16" s="6">
        <v>1</v>
      </c>
      <c r="N16">
        <f t="shared" si="0"/>
        <v>0.18</v>
      </c>
    </row>
    <row r="17" spans="1:14" ht="30" x14ac:dyDescent="0.25">
      <c r="A17" s="3" t="s">
        <v>87</v>
      </c>
      <c r="B17" s="3" t="s">
        <v>88</v>
      </c>
      <c r="C17" s="4"/>
      <c r="D17" s="3" t="s">
        <v>77</v>
      </c>
      <c r="E17" s="3" t="s">
        <v>78</v>
      </c>
      <c r="F17" s="3" t="s">
        <v>54</v>
      </c>
      <c r="G17" s="3" t="s">
        <v>89</v>
      </c>
      <c r="H17" s="3" t="s">
        <v>18</v>
      </c>
      <c r="I17" s="3" t="s">
        <v>90</v>
      </c>
      <c r="J17" s="4">
        <v>0.18</v>
      </c>
      <c r="K17" s="4">
        <v>8</v>
      </c>
      <c r="L17" s="4">
        <v>1.44</v>
      </c>
      <c r="M17" s="6">
        <v>8</v>
      </c>
      <c r="N17">
        <f t="shared" si="0"/>
        <v>1.44</v>
      </c>
    </row>
    <row r="18" spans="1:14" ht="90" x14ac:dyDescent="0.25">
      <c r="A18" s="3" t="s">
        <v>91</v>
      </c>
      <c r="B18" s="3" t="s">
        <v>92</v>
      </c>
      <c r="C18" s="4"/>
      <c r="D18" s="3" t="s">
        <v>93</v>
      </c>
      <c r="E18" s="3" t="s">
        <v>91</v>
      </c>
      <c r="F18" s="3" t="s">
        <v>94</v>
      </c>
      <c r="G18" s="3" t="s">
        <v>91</v>
      </c>
      <c r="H18" s="3" t="s">
        <v>18</v>
      </c>
      <c r="I18" s="3" t="s">
        <v>95</v>
      </c>
      <c r="J18" s="4">
        <v>2.52</v>
      </c>
      <c r="K18" s="4">
        <v>1</v>
      </c>
      <c r="L18" s="4">
        <v>2.52</v>
      </c>
      <c r="M18" s="6">
        <v>1</v>
      </c>
      <c r="N18">
        <f t="shared" si="0"/>
        <v>2.52</v>
      </c>
    </row>
    <row r="19" spans="1:14" ht="45" x14ac:dyDescent="0.25">
      <c r="A19" s="3" t="s">
        <v>96</v>
      </c>
      <c r="B19" s="3" t="s">
        <v>97</v>
      </c>
      <c r="C19" s="4"/>
      <c r="D19" s="3" t="s">
        <v>98</v>
      </c>
      <c r="E19" s="3" t="s">
        <v>99</v>
      </c>
      <c r="F19" s="3" t="s">
        <v>100</v>
      </c>
      <c r="G19" s="3" t="s">
        <v>101</v>
      </c>
      <c r="H19" s="3" t="s">
        <v>18</v>
      </c>
      <c r="I19" s="3" t="s">
        <v>102</v>
      </c>
      <c r="J19" s="4">
        <v>0.74</v>
      </c>
      <c r="K19" s="4">
        <v>1</v>
      </c>
      <c r="L19" s="4">
        <v>0.74</v>
      </c>
      <c r="M19" s="6">
        <v>1</v>
      </c>
      <c r="N19">
        <f t="shared" si="0"/>
        <v>0.74</v>
      </c>
    </row>
    <row r="20" spans="1:14" ht="60" x14ac:dyDescent="0.25">
      <c r="A20" s="3" t="s">
        <v>103</v>
      </c>
      <c r="B20" s="3" t="s">
        <v>104</v>
      </c>
      <c r="C20" s="3" t="s">
        <v>103</v>
      </c>
      <c r="D20" s="3" t="s">
        <v>105</v>
      </c>
      <c r="E20" s="3" t="s">
        <v>106</v>
      </c>
      <c r="F20" s="3" t="s">
        <v>59</v>
      </c>
      <c r="G20" s="3" t="s">
        <v>107</v>
      </c>
      <c r="H20" s="3" t="s">
        <v>18</v>
      </c>
      <c r="I20" s="3" t="s">
        <v>108</v>
      </c>
      <c r="J20" s="4">
        <v>0.6</v>
      </c>
      <c r="K20" s="4">
        <v>1</v>
      </c>
      <c r="L20" s="4">
        <v>0.6</v>
      </c>
      <c r="M20" s="6">
        <v>1</v>
      </c>
      <c r="N20">
        <f t="shared" si="0"/>
        <v>0.6</v>
      </c>
    </row>
    <row r="21" spans="1:14" ht="30" x14ac:dyDescent="0.25">
      <c r="A21" s="3" t="s">
        <v>109</v>
      </c>
      <c r="B21" s="3" t="s">
        <v>110</v>
      </c>
      <c r="C21" s="4"/>
      <c r="D21" s="3" t="s">
        <v>111</v>
      </c>
      <c r="E21" s="3" t="s">
        <v>112</v>
      </c>
      <c r="F21" s="3" t="s">
        <v>113</v>
      </c>
      <c r="G21" s="3" t="s">
        <v>114</v>
      </c>
      <c r="H21" s="3" t="s">
        <v>18</v>
      </c>
      <c r="I21" s="3" t="s">
        <v>115</v>
      </c>
      <c r="J21" s="4">
        <v>6.88</v>
      </c>
      <c r="K21" s="4">
        <v>2</v>
      </c>
      <c r="L21" s="4">
        <v>13.76</v>
      </c>
      <c r="M21" s="6">
        <v>1</v>
      </c>
      <c r="N21">
        <f t="shared" si="0"/>
        <v>6.88</v>
      </c>
    </row>
    <row r="22" spans="1:14" x14ac:dyDescent="0.25">
      <c r="A22" s="3" t="s">
        <v>116</v>
      </c>
      <c r="B22" s="3" t="s">
        <v>117</v>
      </c>
      <c r="C22" s="3" t="s">
        <v>116</v>
      </c>
      <c r="D22" s="3" t="s">
        <v>96</v>
      </c>
      <c r="E22" s="3" t="s">
        <v>118</v>
      </c>
      <c r="F22" s="3" t="s">
        <v>119</v>
      </c>
      <c r="G22" s="3" t="s">
        <v>120</v>
      </c>
      <c r="H22" s="3" t="s">
        <v>18</v>
      </c>
      <c r="I22" s="3" t="s">
        <v>121</v>
      </c>
      <c r="J22" s="4">
        <v>0.1</v>
      </c>
      <c r="K22" s="4">
        <v>4</v>
      </c>
      <c r="L22" s="4">
        <v>0.4</v>
      </c>
      <c r="M22" s="6">
        <v>4</v>
      </c>
      <c r="N22">
        <f t="shared" si="0"/>
        <v>0.4</v>
      </c>
    </row>
    <row r="23" spans="1:14" ht="30" x14ac:dyDescent="0.25">
      <c r="A23" s="3" t="s">
        <v>122</v>
      </c>
      <c r="B23" s="3" t="s">
        <v>123</v>
      </c>
      <c r="C23" s="3" t="s">
        <v>122</v>
      </c>
      <c r="D23" s="3" t="s">
        <v>96</v>
      </c>
      <c r="E23" s="3" t="s">
        <v>118</v>
      </c>
      <c r="F23" s="3" t="s">
        <v>124</v>
      </c>
      <c r="G23" s="3" t="s">
        <v>125</v>
      </c>
      <c r="H23" s="3" t="s">
        <v>18</v>
      </c>
      <c r="I23" s="3" t="s">
        <v>126</v>
      </c>
      <c r="J23" s="4">
        <v>7.9000000000000001E-2</v>
      </c>
      <c r="K23" s="4">
        <v>8</v>
      </c>
      <c r="L23" s="4">
        <v>0.79</v>
      </c>
      <c r="M23" s="6">
        <v>10</v>
      </c>
      <c r="N23">
        <f t="shared" si="0"/>
        <v>0.79</v>
      </c>
    </row>
    <row r="24" spans="1:14" x14ac:dyDescent="0.25">
      <c r="A24" s="3" t="s">
        <v>127</v>
      </c>
      <c r="B24" s="3" t="s">
        <v>128</v>
      </c>
      <c r="C24" s="3" t="s">
        <v>127</v>
      </c>
      <c r="D24" s="3" t="s">
        <v>96</v>
      </c>
      <c r="E24" s="3" t="s">
        <v>118</v>
      </c>
      <c r="F24" s="3" t="s">
        <v>124</v>
      </c>
      <c r="G24" s="3" t="s">
        <v>129</v>
      </c>
      <c r="H24" s="3" t="s">
        <v>18</v>
      </c>
      <c r="I24" s="3" t="s">
        <v>130</v>
      </c>
      <c r="J24" s="4">
        <v>0.1</v>
      </c>
      <c r="K24" s="4">
        <v>1</v>
      </c>
      <c r="L24" s="4">
        <v>0.1</v>
      </c>
      <c r="M24" s="6">
        <v>1</v>
      </c>
      <c r="N24">
        <f t="shared" si="0"/>
        <v>0.1</v>
      </c>
    </row>
    <row r="25" spans="1:14" ht="45" x14ac:dyDescent="0.25">
      <c r="A25" s="3" t="s">
        <v>131</v>
      </c>
      <c r="B25" s="3" t="s">
        <v>132</v>
      </c>
      <c r="C25" s="3" t="s">
        <v>131</v>
      </c>
      <c r="D25" s="3" t="s">
        <v>96</v>
      </c>
      <c r="E25" s="3" t="s">
        <v>118</v>
      </c>
      <c r="F25" s="3" t="s">
        <v>133</v>
      </c>
      <c r="G25" s="3" t="s">
        <v>134</v>
      </c>
      <c r="H25" s="3" t="s">
        <v>18</v>
      </c>
      <c r="I25" s="3" t="s">
        <v>135</v>
      </c>
      <c r="J25" s="4">
        <v>0.16</v>
      </c>
      <c r="K25" s="4">
        <v>9</v>
      </c>
      <c r="L25" s="4">
        <v>1.6</v>
      </c>
      <c r="M25" s="6">
        <v>10</v>
      </c>
      <c r="N25">
        <f t="shared" si="0"/>
        <v>1.6</v>
      </c>
    </row>
    <row r="26" spans="1:14" ht="30" x14ac:dyDescent="0.25">
      <c r="A26" s="3" t="s">
        <v>136</v>
      </c>
      <c r="B26" s="3" t="s">
        <v>137</v>
      </c>
      <c r="C26" s="3" t="s">
        <v>136</v>
      </c>
      <c r="D26" s="3" t="s">
        <v>96</v>
      </c>
      <c r="E26" s="3" t="s">
        <v>118</v>
      </c>
      <c r="F26" s="3" t="s">
        <v>138</v>
      </c>
      <c r="G26" s="3" t="s">
        <v>139</v>
      </c>
      <c r="H26" s="3" t="s">
        <v>18</v>
      </c>
      <c r="I26" s="3" t="s">
        <v>140</v>
      </c>
      <c r="J26" s="4">
        <v>0.1</v>
      </c>
      <c r="K26" s="4">
        <v>1</v>
      </c>
      <c r="L26" s="4">
        <v>0.1</v>
      </c>
      <c r="M26" s="6">
        <v>1</v>
      </c>
      <c r="N26">
        <f t="shared" si="0"/>
        <v>0.1</v>
      </c>
    </row>
    <row r="27" spans="1:14" x14ac:dyDescent="0.25">
      <c r="A27" s="3" t="s">
        <v>141</v>
      </c>
      <c r="B27" s="3" t="s">
        <v>142</v>
      </c>
      <c r="C27" s="3" t="s">
        <v>141</v>
      </c>
      <c r="D27" s="3" t="s">
        <v>96</v>
      </c>
      <c r="E27" s="3" t="s">
        <v>118</v>
      </c>
      <c r="F27" s="3" t="s">
        <v>119</v>
      </c>
      <c r="G27" s="3" t="s">
        <v>143</v>
      </c>
      <c r="H27" s="3" t="s">
        <v>18</v>
      </c>
      <c r="I27" s="3" t="s">
        <v>144</v>
      </c>
      <c r="J27" s="4">
        <v>0.34</v>
      </c>
      <c r="K27" s="4">
        <v>1</v>
      </c>
      <c r="L27" s="4">
        <v>0.34</v>
      </c>
      <c r="M27" s="6">
        <v>1</v>
      </c>
      <c r="N27">
        <f t="shared" si="0"/>
        <v>0.34</v>
      </c>
    </row>
    <row r="28" spans="1:14" x14ac:dyDescent="0.25">
      <c r="A28" s="3" t="s">
        <v>145</v>
      </c>
      <c r="B28" s="3" t="s">
        <v>146</v>
      </c>
      <c r="C28" s="3" t="s">
        <v>145</v>
      </c>
      <c r="D28" s="3" t="s">
        <v>96</v>
      </c>
      <c r="E28" s="3" t="s">
        <v>118</v>
      </c>
      <c r="F28" s="3" t="s">
        <v>147</v>
      </c>
      <c r="G28" s="3" t="s">
        <v>148</v>
      </c>
      <c r="H28" s="3" t="s">
        <v>18</v>
      </c>
      <c r="I28" s="3" t="s">
        <v>149</v>
      </c>
      <c r="J28" s="4">
        <v>0.15</v>
      </c>
      <c r="K28" s="4">
        <v>2</v>
      </c>
      <c r="L28" s="4">
        <v>0.3</v>
      </c>
      <c r="M28" s="6">
        <v>2</v>
      </c>
      <c r="N28">
        <f t="shared" si="0"/>
        <v>0.3</v>
      </c>
    </row>
    <row r="29" spans="1:14" ht="30" x14ac:dyDescent="0.25">
      <c r="A29" s="3" t="s">
        <v>150</v>
      </c>
      <c r="B29" s="3" t="s">
        <v>151</v>
      </c>
      <c r="C29" s="3" t="s">
        <v>150</v>
      </c>
      <c r="D29" s="3" t="s">
        <v>96</v>
      </c>
      <c r="E29" s="3" t="s">
        <v>118</v>
      </c>
      <c r="F29" s="3" t="s">
        <v>133</v>
      </c>
      <c r="G29" s="3" t="s">
        <v>152</v>
      </c>
      <c r="H29" s="3" t="s">
        <v>18</v>
      </c>
      <c r="I29" s="3" t="s">
        <v>153</v>
      </c>
      <c r="J29" s="4">
        <v>0.19</v>
      </c>
      <c r="K29" s="4">
        <v>1</v>
      </c>
      <c r="L29" s="4">
        <v>0.19</v>
      </c>
      <c r="M29" s="6">
        <v>1</v>
      </c>
      <c r="N29">
        <f t="shared" si="0"/>
        <v>0.19</v>
      </c>
    </row>
    <row r="30" spans="1:14" ht="30" x14ac:dyDescent="0.25">
      <c r="A30" s="3" t="s">
        <v>154</v>
      </c>
      <c r="B30" s="3" t="s">
        <v>155</v>
      </c>
      <c r="C30" s="3" t="s">
        <v>154</v>
      </c>
      <c r="D30" s="3" t="s">
        <v>96</v>
      </c>
      <c r="E30" s="3" t="s">
        <v>118</v>
      </c>
      <c r="F30" s="3" t="s">
        <v>133</v>
      </c>
      <c r="G30" s="3" t="s">
        <v>156</v>
      </c>
      <c r="H30" s="3" t="s">
        <v>18</v>
      </c>
      <c r="I30" s="3" t="s">
        <v>157</v>
      </c>
      <c r="J30" s="4">
        <v>0.1</v>
      </c>
      <c r="K30" s="4">
        <v>1</v>
      </c>
      <c r="L30" s="4">
        <v>0.1</v>
      </c>
      <c r="M30" s="6">
        <v>1</v>
      </c>
      <c r="N30">
        <f t="shared" si="0"/>
        <v>0.1</v>
      </c>
    </row>
    <row r="31" spans="1:14" ht="60" x14ac:dyDescent="0.25">
      <c r="A31" s="3" t="s">
        <v>131</v>
      </c>
      <c r="B31" s="3" t="s">
        <v>158</v>
      </c>
      <c r="C31" s="3" t="s">
        <v>131</v>
      </c>
      <c r="D31" s="3" t="s">
        <v>159</v>
      </c>
      <c r="E31" s="3" t="s">
        <v>160</v>
      </c>
      <c r="F31" s="3" t="s">
        <v>161</v>
      </c>
      <c r="G31" s="3" t="s">
        <v>162</v>
      </c>
      <c r="H31" s="3" t="s">
        <v>18</v>
      </c>
      <c r="I31" s="3" t="s">
        <v>163</v>
      </c>
      <c r="J31" s="4">
        <v>0.66400000000000003</v>
      </c>
      <c r="K31" s="4">
        <v>12</v>
      </c>
      <c r="L31" s="4">
        <v>7.97</v>
      </c>
      <c r="M31" s="6">
        <v>3</v>
      </c>
      <c r="N31">
        <f t="shared" si="0"/>
        <v>1.992</v>
      </c>
    </row>
    <row r="32" spans="1:14" ht="45" x14ac:dyDescent="0.25">
      <c r="A32" s="3" t="s">
        <v>164</v>
      </c>
      <c r="B32" s="3" t="s">
        <v>165</v>
      </c>
      <c r="C32" s="3" t="s">
        <v>164</v>
      </c>
      <c r="D32" s="3" t="s">
        <v>159</v>
      </c>
      <c r="E32" s="3" t="s">
        <v>160</v>
      </c>
      <c r="F32" s="3" t="s">
        <v>161</v>
      </c>
      <c r="G32" s="3" t="s">
        <v>166</v>
      </c>
      <c r="H32" s="3" t="s">
        <v>18</v>
      </c>
      <c r="I32" s="3" t="s">
        <v>167</v>
      </c>
      <c r="J32" s="4">
        <v>0.85</v>
      </c>
      <c r="K32" s="4">
        <v>8</v>
      </c>
      <c r="L32" s="4">
        <v>6.8</v>
      </c>
      <c r="M32" s="6">
        <v>1</v>
      </c>
      <c r="N32">
        <f t="shared" si="0"/>
        <v>0.85</v>
      </c>
    </row>
    <row r="33" spans="1:14" ht="45" x14ac:dyDescent="0.25">
      <c r="A33" s="3" t="s">
        <v>168</v>
      </c>
      <c r="B33" s="3" t="s">
        <v>169</v>
      </c>
      <c r="C33" s="3" t="s">
        <v>168</v>
      </c>
      <c r="D33" s="3" t="s">
        <v>96</v>
      </c>
      <c r="E33" s="3" t="s">
        <v>118</v>
      </c>
      <c r="F33" s="3" t="s">
        <v>170</v>
      </c>
      <c r="G33" s="3" t="s">
        <v>171</v>
      </c>
      <c r="H33" s="3" t="s">
        <v>18</v>
      </c>
      <c r="I33" s="3" t="s">
        <v>172</v>
      </c>
      <c r="J33" s="4">
        <v>0.1</v>
      </c>
      <c r="K33" s="4">
        <v>1</v>
      </c>
      <c r="L33" s="4">
        <v>0.1</v>
      </c>
      <c r="M33" s="6">
        <v>1</v>
      </c>
      <c r="N33">
        <f t="shared" si="0"/>
        <v>0.1</v>
      </c>
    </row>
    <row r="34" spans="1:14" ht="30" x14ac:dyDescent="0.25">
      <c r="A34" s="3" t="s">
        <v>173</v>
      </c>
      <c r="B34" s="3" t="s">
        <v>174</v>
      </c>
      <c r="C34" s="3" t="s">
        <v>173</v>
      </c>
      <c r="D34" s="3" t="s">
        <v>175</v>
      </c>
      <c r="E34" s="3" t="s">
        <v>15</v>
      </c>
      <c r="F34" s="3" t="s">
        <v>176</v>
      </c>
      <c r="G34" s="3" t="s">
        <v>177</v>
      </c>
      <c r="H34" s="3" t="s">
        <v>18</v>
      </c>
      <c r="I34" s="3" t="s">
        <v>178</v>
      </c>
      <c r="J34" s="4">
        <v>0.21</v>
      </c>
      <c r="K34" s="4">
        <v>1</v>
      </c>
      <c r="L34" s="4">
        <v>0.21</v>
      </c>
      <c r="M34" s="6">
        <v>1</v>
      </c>
      <c r="N34">
        <f t="shared" si="0"/>
        <v>0.21</v>
      </c>
    </row>
    <row r="35" spans="1:14" ht="90" x14ac:dyDescent="0.25">
      <c r="A35" s="3" t="s">
        <v>179</v>
      </c>
      <c r="B35" s="3" t="s">
        <v>180</v>
      </c>
      <c r="C35" s="3" t="s">
        <v>179</v>
      </c>
      <c r="D35" s="3" t="s">
        <v>96</v>
      </c>
      <c r="E35" s="3" t="s">
        <v>118</v>
      </c>
      <c r="F35" s="3" t="s">
        <v>119</v>
      </c>
      <c r="G35" s="4"/>
      <c r="H35" s="3" t="s">
        <v>181</v>
      </c>
      <c r="I35" s="3" t="s">
        <v>182</v>
      </c>
      <c r="J35" s="4">
        <v>0.28999999999999998</v>
      </c>
      <c r="K35" s="4">
        <v>16</v>
      </c>
      <c r="L35" s="4">
        <f>J35*K35</f>
        <v>4.6399999999999997</v>
      </c>
      <c r="M35" s="6">
        <v>10</v>
      </c>
      <c r="N35">
        <f t="shared" si="0"/>
        <v>2.9</v>
      </c>
    </row>
    <row r="36" spans="1:14" ht="90" x14ac:dyDescent="0.25">
      <c r="A36" s="3" t="s">
        <v>183</v>
      </c>
      <c r="B36" s="3" t="s">
        <v>184</v>
      </c>
      <c r="C36" s="3" t="s">
        <v>183</v>
      </c>
      <c r="D36" s="3" t="s">
        <v>96</v>
      </c>
      <c r="E36" s="3" t="s">
        <v>118</v>
      </c>
      <c r="F36" s="3" t="s">
        <v>119</v>
      </c>
      <c r="G36" s="3" t="s">
        <v>185</v>
      </c>
      <c r="H36" s="3" t="s">
        <v>18</v>
      </c>
      <c r="I36" s="3" t="s">
        <v>186</v>
      </c>
      <c r="J36" s="4">
        <v>0.28599999999999998</v>
      </c>
      <c r="K36" s="4">
        <v>16</v>
      </c>
      <c r="L36" s="4">
        <v>4.58</v>
      </c>
      <c r="M36" s="6">
        <v>10</v>
      </c>
      <c r="N36">
        <f t="shared" si="0"/>
        <v>2.86</v>
      </c>
    </row>
    <row r="37" spans="1:14" ht="30" x14ac:dyDescent="0.25">
      <c r="A37" s="3" t="s">
        <v>164</v>
      </c>
      <c r="B37" s="3" t="s">
        <v>187</v>
      </c>
      <c r="C37" s="3" t="s">
        <v>164</v>
      </c>
      <c r="D37" s="3" t="s">
        <v>96</v>
      </c>
      <c r="E37" s="3" t="s">
        <v>118</v>
      </c>
      <c r="F37" s="3" t="s">
        <v>188</v>
      </c>
      <c r="G37" s="3" t="s">
        <v>189</v>
      </c>
      <c r="H37" s="3" t="s">
        <v>18</v>
      </c>
      <c r="I37" s="3" t="s">
        <v>190</v>
      </c>
      <c r="J37" s="4">
        <v>0.1</v>
      </c>
      <c r="K37" s="4">
        <v>1</v>
      </c>
      <c r="L37" s="4">
        <v>0.1</v>
      </c>
      <c r="M37" s="6">
        <v>1</v>
      </c>
      <c r="N37">
        <f t="shared" si="0"/>
        <v>0.1</v>
      </c>
    </row>
    <row r="38" spans="1:14" x14ac:dyDescent="0.25">
      <c r="A38" s="3" t="s">
        <v>191</v>
      </c>
      <c r="B38" s="3" t="s">
        <v>192</v>
      </c>
      <c r="C38" s="3" t="s">
        <v>191</v>
      </c>
      <c r="D38" s="3" t="s">
        <v>96</v>
      </c>
      <c r="E38" s="3" t="s">
        <v>118</v>
      </c>
      <c r="F38" s="3" t="s">
        <v>119</v>
      </c>
      <c r="G38" s="3" t="s">
        <v>193</v>
      </c>
      <c r="H38" s="3" t="s">
        <v>18</v>
      </c>
      <c r="I38" s="3" t="s">
        <v>194</v>
      </c>
      <c r="J38" s="4">
        <v>0.1</v>
      </c>
      <c r="K38" s="4">
        <v>1</v>
      </c>
      <c r="L38" s="4">
        <v>0.1</v>
      </c>
      <c r="M38" s="6">
        <v>1</v>
      </c>
      <c r="N38">
        <f t="shared" si="0"/>
        <v>0.1</v>
      </c>
    </row>
    <row r="39" spans="1:14" ht="30" x14ac:dyDescent="0.25">
      <c r="A39" s="3" t="s">
        <v>195</v>
      </c>
      <c r="B39" s="3" t="s">
        <v>196</v>
      </c>
      <c r="C39" s="3" t="s">
        <v>195</v>
      </c>
      <c r="D39" s="3" t="s">
        <v>96</v>
      </c>
      <c r="E39" s="3" t="s">
        <v>118</v>
      </c>
      <c r="F39" s="3" t="s">
        <v>133</v>
      </c>
      <c r="G39" s="3" t="s">
        <v>156</v>
      </c>
      <c r="H39" s="3" t="s">
        <v>18</v>
      </c>
      <c r="I39" s="3" t="s">
        <v>157</v>
      </c>
      <c r="J39" s="4">
        <v>0.1</v>
      </c>
      <c r="K39" s="4">
        <v>1</v>
      </c>
      <c r="L39" s="4">
        <v>0.1</v>
      </c>
      <c r="M39" s="6">
        <v>1</v>
      </c>
      <c r="N39">
        <f t="shared" si="0"/>
        <v>0.1</v>
      </c>
    </row>
    <row r="40" spans="1:14" ht="45" x14ac:dyDescent="0.25">
      <c r="A40" s="3" t="s">
        <v>197</v>
      </c>
      <c r="B40" s="3" t="s">
        <v>198</v>
      </c>
      <c r="C40" s="3" t="s">
        <v>197</v>
      </c>
      <c r="D40" s="3" t="s">
        <v>199</v>
      </c>
      <c r="E40" s="3" t="s">
        <v>15</v>
      </c>
      <c r="F40" s="3" t="s">
        <v>119</v>
      </c>
      <c r="G40" s="3" t="s">
        <v>200</v>
      </c>
      <c r="H40" s="3" t="s">
        <v>18</v>
      </c>
      <c r="I40" s="3" t="s">
        <v>201</v>
      </c>
      <c r="J40" s="4">
        <v>0.45200000000000001</v>
      </c>
      <c r="K40" s="4">
        <v>8</v>
      </c>
      <c r="L40" s="4">
        <v>4.5199999999999996</v>
      </c>
      <c r="M40" s="6">
        <v>4</v>
      </c>
      <c r="N40">
        <f t="shared" si="0"/>
        <v>1.8080000000000001</v>
      </c>
    </row>
    <row r="41" spans="1:14" ht="30" x14ac:dyDescent="0.25">
      <c r="A41" s="3" t="s">
        <v>202</v>
      </c>
      <c r="B41" s="3" t="s">
        <v>203</v>
      </c>
      <c r="C41" s="3" t="s">
        <v>202</v>
      </c>
      <c r="D41" s="3" t="s">
        <v>96</v>
      </c>
      <c r="E41" s="3" t="s">
        <v>118</v>
      </c>
      <c r="F41" s="3" t="s">
        <v>133</v>
      </c>
      <c r="G41" s="3" t="s">
        <v>204</v>
      </c>
      <c r="H41" s="3" t="s">
        <v>18</v>
      </c>
      <c r="I41" s="3" t="s">
        <v>205</v>
      </c>
      <c r="J41" s="4">
        <v>0.1</v>
      </c>
      <c r="K41" s="4">
        <v>1</v>
      </c>
      <c r="L41" s="4">
        <v>0.1</v>
      </c>
      <c r="M41" s="6">
        <v>1</v>
      </c>
      <c r="N41">
        <f t="shared" si="0"/>
        <v>0.1</v>
      </c>
    </row>
    <row r="42" spans="1:14" ht="30" x14ac:dyDescent="0.25">
      <c r="A42" s="3" t="s">
        <v>206</v>
      </c>
      <c r="B42" s="3" t="s">
        <v>207</v>
      </c>
      <c r="C42" s="3" t="s">
        <v>206</v>
      </c>
      <c r="D42" s="3" t="s">
        <v>96</v>
      </c>
      <c r="E42" s="3" t="s">
        <v>118</v>
      </c>
      <c r="F42" s="3" t="s">
        <v>133</v>
      </c>
      <c r="G42" s="3" t="s">
        <v>156</v>
      </c>
      <c r="H42" s="3" t="s">
        <v>18</v>
      </c>
      <c r="I42" s="3" t="s">
        <v>157</v>
      </c>
      <c r="J42" s="4">
        <v>0.1</v>
      </c>
      <c r="K42" s="4">
        <v>1</v>
      </c>
      <c r="L42" s="4">
        <v>0.1</v>
      </c>
      <c r="M42" s="6">
        <v>1</v>
      </c>
      <c r="N42">
        <f t="shared" si="0"/>
        <v>0.1</v>
      </c>
    </row>
    <row r="43" spans="1:14" ht="30" x14ac:dyDescent="0.25">
      <c r="A43" s="3" t="s">
        <v>208</v>
      </c>
      <c r="B43" s="3" t="s">
        <v>209</v>
      </c>
      <c r="C43" s="4"/>
      <c r="D43" s="3" t="s">
        <v>96</v>
      </c>
      <c r="E43" s="3" t="s">
        <v>210</v>
      </c>
      <c r="F43" s="3" t="s">
        <v>211</v>
      </c>
      <c r="G43" s="3" t="s">
        <v>212</v>
      </c>
      <c r="H43" s="3" t="s">
        <v>18</v>
      </c>
      <c r="I43" s="3" t="s">
        <v>213</v>
      </c>
      <c r="J43" s="4">
        <v>3.76</v>
      </c>
      <c r="K43" s="4">
        <v>2</v>
      </c>
      <c r="L43" s="4">
        <v>7.52</v>
      </c>
      <c r="M43" s="6">
        <v>1</v>
      </c>
      <c r="N43">
        <f t="shared" si="0"/>
        <v>3.76</v>
      </c>
    </row>
    <row r="44" spans="1:14" ht="60" x14ac:dyDescent="0.25">
      <c r="A44" s="3" t="s">
        <v>214</v>
      </c>
      <c r="B44" s="3" t="s">
        <v>215</v>
      </c>
      <c r="C44" s="4"/>
      <c r="D44" s="3" t="s">
        <v>216</v>
      </c>
      <c r="E44" s="3" t="s">
        <v>217</v>
      </c>
      <c r="F44" s="3" t="s">
        <v>211</v>
      </c>
      <c r="G44" s="3" t="s">
        <v>218</v>
      </c>
      <c r="H44" s="3" t="s">
        <v>18</v>
      </c>
      <c r="I44" s="3" t="s">
        <v>219</v>
      </c>
      <c r="J44" s="4">
        <v>6.91</v>
      </c>
      <c r="K44" s="4">
        <v>2</v>
      </c>
      <c r="L44" s="4">
        <v>13.82</v>
      </c>
      <c r="M44" s="6">
        <v>1</v>
      </c>
      <c r="N44">
        <f t="shared" si="0"/>
        <v>6.91</v>
      </c>
    </row>
    <row r="45" spans="1:14" ht="60" x14ac:dyDescent="0.25">
      <c r="A45" s="3" t="s">
        <v>220</v>
      </c>
      <c r="B45" s="3" t="s">
        <v>221</v>
      </c>
      <c r="C45" s="4"/>
      <c r="D45" s="3" t="s">
        <v>222</v>
      </c>
      <c r="E45" s="3" t="s">
        <v>223</v>
      </c>
      <c r="F45" s="3" t="s">
        <v>224</v>
      </c>
      <c r="G45" s="3" t="s">
        <v>225</v>
      </c>
      <c r="H45" s="3" t="s">
        <v>18</v>
      </c>
      <c r="I45" s="3" t="s">
        <v>226</v>
      </c>
      <c r="J45" s="4">
        <v>0.34</v>
      </c>
      <c r="K45" s="4">
        <v>8</v>
      </c>
      <c r="L45" s="4">
        <v>2.72</v>
      </c>
      <c r="M45" s="6">
        <v>10</v>
      </c>
      <c r="N45">
        <f t="shared" si="0"/>
        <v>3.4000000000000004</v>
      </c>
    </row>
    <row r="46" spans="1:14" ht="45" x14ac:dyDescent="0.25">
      <c r="A46" s="3" t="s">
        <v>227</v>
      </c>
      <c r="B46" s="3" t="s">
        <v>228</v>
      </c>
      <c r="C46" s="4"/>
      <c r="D46" s="3" t="s">
        <v>229</v>
      </c>
      <c r="E46" s="3" t="s">
        <v>230</v>
      </c>
      <c r="F46" s="3" t="s">
        <v>211</v>
      </c>
      <c r="G46" s="3" t="s">
        <v>231</v>
      </c>
      <c r="H46" s="3" t="s">
        <v>18</v>
      </c>
      <c r="I46" s="3" t="s">
        <v>232</v>
      </c>
      <c r="J46" s="4">
        <v>3.6</v>
      </c>
      <c r="K46" s="4">
        <v>8</v>
      </c>
      <c r="L46" s="4">
        <v>28.8</v>
      </c>
      <c r="M46" s="6">
        <v>2</v>
      </c>
      <c r="N46">
        <f t="shared" si="0"/>
        <v>7.2</v>
      </c>
    </row>
    <row r="47" spans="1:14" ht="45" x14ac:dyDescent="0.25">
      <c r="A47" s="3" t="s">
        <v>233</v>
      </c>
      <c r="B47" s="3" t="s">
        <v>234</v>
      </c>
      <c r="C47" s="4"/>
      <c r="D47" s="3" t="s">
        <v>96</v>
      </c>
      <c r="E47" s="3" t="s">
        <v>235</v>
      </c>
      <c r="F47" s="3" t="s">
        <v>211</v>
      </c>
      <c r="G47" s="3" t="s">
        <v>236</v>
      </c>
      <c r="H47" s="3" t="s">
        <v>18</v>
      </c>
      <c r="I47" s="3" t="s">
        <v>237</v>
      </c>
      <c r="J47" s="4">
        <v>115.89</v>
      </c>
      <c r="K47" s="4">
        <v>1</v>
      </c>
      <c r="L47" s="4">
        <v>115.89</v>
      </c>
      <c r="M47" s="6">
        <v>0</v>
      </c>
      <c r="N47">
        <f t="shared" si="0"/>
        <v>0</v>
      </c>
    </row>
    <row r="48" spans="1:14" ht="45" x14ac:dyDescent="0.25">
      <c r="A48" s="3" t="s">
        <v>238</v>
      </c>
      <c r="B48" s="3" t="s">
        <v>239</v>
      </c>
      <c r="C48" s="4"/>
      <c r="D48" s="3" t="s">
        <v>240</v>
      </c>
      <c r="E48" s="3" t="s">
        <v>241</v>
      </c>
      <c r="F48" s="3" t="s">
        <v>242</v>
      </c>
      <c r="G48" s="3" t="s">
        <v>243</v>
      </c>
      <c r="H48" s="3" t="s">
        <v>18</v>
      </c>
      <c r="I48" s="3" t="s">
        <v>244</v>
      </c>
      <c r="J48" s="4">
        <v>0.3</v>
      </c>
      <c r="K48" s="4">
        <v>8</v>
      </c>
      <c r="L48" s="4">
        <v>2.4</v>
      </c>
      <c r="M48" s="6">
        <v>2</v>
      </c>
      <c r="N48">
        <f t="shared" si="0"/>
        <v>0.6</v>
      </c>
    </row>
    <row r="49" spans="1:14" ht="60" x14ac:dyDescent="0.25">
      <c r="A49" s="3" t="s">
        <v>245</v>
      </c>
      <c r="B49" s="3" t="s">
        <v>246</v>
      </c>
      <c r="C49" s="4"/>
      <c r="D49" s="3" t="s">
        <v>247</v>
      </c>
      <c r="E49" s="3" t="s">
        <v>248</v>
      </c>
      <c r="F49" s="3" t="s">
        <v>249</v>
      </c>
      <c r="G49" s="3" t="s">
        <v>250</v>
      </c>
      <c r="H49" s="3" t="s">
        <v>18</v>
      </c>
      <c r="I49" s="3" t="s">
        <v>251</v>
      </c>
      <c r="J49" s="4">
        <v>6.82</v>
      </c>
      <c r="K49" s="4">
        <v>8</v>
      </c>
      <c r="L49" s="4">
        <v>54.56</v>
      </c>
      <c r="M49" s="6">
        <v>2</v>
      </c>
      <c r="N49">
        <f t="shared" si="0"/>
        <v>13.64</v>
      </c>
    </row>
    <row r="50" spans="1:14" ht="45" x14ac:dyDescent="0.25">
      <c r="A50" s="3" t="s">
        <v>252</v>
      </c>
      <c r="B50" s="3" t="s">
        <v>253</v>
      </c>
      <c r="C50" s="4"/>
      <c r="D50" s="3" t="s">
        <v>254</v>
      </c>
      <c r="E50" s="3" t="s">
        <v>255</v>
      </c>
      <c r="F50" s="3" t="s">
        <v>211</v>
      </c>
      <c r="G50" s="3" t="s">
        <v>256</v>
      </c>
      <c r="H50" s="3" t="s">
        <v>18</v>
      </c>
      <c r="I50" s="3" t="s">
        <v>257</v>
      </c>
      <c r="J50" s="4">
        <v>0.43</v>
      </c>
      <c r="K50" s="4">
        <v>1</v>
      </c>
      <c r="L50" s="4">
        <v>0.43</v>
      </c>
      <c r="M50" s="6">
        <v>1</v>
      </c>
      <c r="N50">
        <f t="shared" si="0"/>
        <v>0.43</v>
      </c>
    </row>
    <row r="51" spans="1:14" ht="45" x14ac:dyDescent="0.25">
      <c r="A51" s="3" t="s">
        <v>258</v>
      </c>
      <c r="B51" s="3" t="s">
        <v>259</v>
      </c>
      <c r="C51" s="4"/>
      <c r="D51" s="3" t="s">
        <v>260</v>
      </c>
      <c r="E51" s="3" t="s">
        <v>261</v>
      </c>
      <c r="F51" s="3" t="s">
        <v>262</v>
      </c>
      <c r="G51" s="3" t="s">
        <v>258</v>
      </c>
      <c r="H51" s="3" t="s">
        <v>18</v>
      </c>
      <c r="I51" s="3" t="s">
        <v>263</v>
      </c>
      <c r="J51" s="4">
        <v>7.5</v>
      </c>
      <c r="K51" s="4">
        <v>1</v>
      </c>
      <c r="L51" s="4">
        <v>7.5</v>
      </c>
      <c r="M51" s="6">
        <v>1</v>
      </c>
      <c r="N51">
        <f t="shared" si="0"/>
        <v>7.5</v>
      </c>
    </row>
    <row r="52" spans="1:14" ht="75" x14ac:dyDescent="0.25">
      <c r="A52" s="3" t="s">
        <v>264</v>
      </c>
      <c r="B52" s="3" t="s">
        <v>265</v>
      </c>
      <c r="C52" s="4"/>
      <c r="D52" s="3" t="s">
        <v>266</v>
      </c>
      <c r="E52" s="3" t="s">
        <v>267</v>
      </c>
      <c r="F52" s="3" t="s">
        <v>211</v>
      </c>
      <c r="G52" s="3" t="s">
        <v>268</v>
      </c>
      <c r="H52" s="3" t="s">
        <v>18</v>
      </c>
      <c r="I52" s="3" t="s">
        <v>269</v>
      </c>
      <c r="J52" s="4">
        <v>2.29</v>
      </c>
      <c r="K52" s="4">
        <v>1</v>
      </c>
      <c r="L52" s="4">
        <v>2.29</v>
      </c>
      <c r="M52" s="6">
        <v>1</v>
      </c>
      <c r="N52">
        <f t="shared" si="0"/>
        <v>2.29</v>
      </c>
    </row>
    <row r="53" spans="1:14" ht="75" x14ac:dyDescent="0.25">
      <c r="A53" s="3" t="s">
        <v>270</v>
      </c>
      <c r="B53" s="3" t="s">
        <v>271</v>
      </c>
      <c r="C53" s="4"/>
      <c r="D53" s="3" t="s">
        <v>272</v>
      </c>
      <c r="E53" s="3" t="s">
        <v>273</v>
      </c>
      <c r="F53" s="3" t="s">
        <v>211</v>
      </c>
      <c r="G53" s="3" t="s">
        <v>274</v>
      </c>
      <c r="H53" s="3" t="s">
        <v>18</v>
      </c>
      <c r="I53" s="3" t="s">
        <v>275</v>
      </c>
      <c r="J53" s="4">
        <v>0.76</v>
      </c>
      <c r="K53" s="4">
        <v>1</v>
      </c>
      <c r="L53" s="4">
        <v>0.76</v>
      </c>
      <c r="M53" s="6">
        <v>1</v>
      </c>
      <c r="N53">
        <f t="shared" si="0"/>
        <v>0.76</v>
      </c>
    </row>
    <row r="54" spans="1:14" ht="75" x14ac:dyDescent="0.25">
      <c r="A54" s="3" t="s">
        <v>276</v>
      </c>
      <c r="B54" s="3" t="s">
        <v>277</v>
      </c>
      <c r="C54" s="4"/>
      <c r="D54" s="3" t="s">
        <v>278</v>
      </c>
      <c r="E54" s="3" t="s">
        <v>279</v>
      </c>
      <c r="F54" s="3" t="s">
        <v>211</v>
      </c>
      <c r="G54" s="3" t="s">
        <v>280</v>
      </c>
      <c r="H54" s="3" t="s">
        <v>18</v>
      </c>
      <c r="I54" s="3" t="s">
        <v>281</v>
      </c>
      <c r="J54" s="4">
        <v>0.42</v>
      </c>
      <c r="K54" s="4">
        <v>1</v>
      </c>
      <c r="L54" s="4">
        <v>0.42</v>
      </c>
      <c r="M54" s="6">
        <v>1</v>
      </c>
      <c r="N54">
        <f t="shared" si="0"/>
        <v>0.42</v>
      </c>
    </row>
    <row r="55" spans="1:14" ht="45" x14ac:dyDescent="0.25">
      <c r="A55" s="3" t="s">
        <v>282</v>
      </c>
      <c r="B55" s="3" t="s">
        <v>283</v>
      </c>
      <c r="C55" s="3" t="s">
        <v>282</v>
      </c>
      <c r="D55" s="3" t="s">
        <v>284</v>
      </c>
      <c r="E55" s="3" t="s">
        <v>285</v>
      </c>
      <c r="F55" s="3" t="s">
        <v>286</v>
      </c>
      <c r="G55" s="4"/>
      <c r="H55" s="3" t="s">
        <v>181</v>
      </c>
      <c r="I55" s="3" t="s">
        <v>287</v>
      </c>
      <c r="J55" s="4">
        <v>1.32</v>
      </c>
      <c r="K55" s="4">
        <v>1</v>
      </c>
      <c r="L55" s="4">
        <v>1.32</v>
      </c>
      <c r="M55" s="6">
        <v>1</v>
      </c>
      <c r="N55">
        <f t="shared" si="0"/>
        <v>1.32</v>
      </c>
    </row>
    <row r="56" spans="1:14" x14ac:dyDescent="0.25">
      <c r="L56">
        <f>SUM(L2:L55)</f>
        <v>301.23</v>
      </c>
      <c r="N56">
        <f>SUM(N2:N55)</f>
        <v>86.210000000000022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2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BOM_UltraZohm_Analog_ADS5272_1v</vt:lpstr>
      <vt:lpstr>BOM_UltraZohm_Analog_ADS5272_1v!Drucktitel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2020-06-15T13:06:02Z</dcterms:created>
  <dcterms:modified xsi:type="dcterms:W3CDTF">2020-06-15T13:16:57Z</dcterms:modified>
</cp:coreProperties>
</file>